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9dc93dbce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6fe29707004b488117c56a61053aae.psmdcp" Id="R05a694454532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qa sandbox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1" i="1"/>
  <x:c r="C21" i="1"/>
  <x:c r="C30" i="1"/>
  <x:c r="C36" i="1"/>
  <x:c r="C44" i="1"/>
  <x:c r="C51" i="1"/>
  <x:c r="C60" i="1"/>
  <x:c r="C7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<x:sst xmlns:x="http://schemas.openxmlformats.org/spreadsheetml/2006/main">
  <x:si>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</x:si>
  <x:si>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</x:si>
  <x:si>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</x:si>
  <x:si>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</x:si>
  <x:si>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</x:si>
  <x:si>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</x:si>
  <x:si>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</x:si>
  <x:si>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</x:si>
  <x:si>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</x:si>
  <x:si>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</x:si>
  <x:si>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</x:si>
  <x:si>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</x:si>
  <x:si>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</x:si>
  <x:si>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</x:si>
  <x:si>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</x:si>
  <x:si>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</x:si>
  <x:si>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</x:si>
  <x:si>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</x:t>
  </x:si>
  <x:si>
    <x:t>qa sandbox -&gt; Калькулятор меню</x:t>
  </x:si>
  <x:si>
    <x:t>Нет</x:t>
  </x:si>
  <x:si>
    <x:t/>
  </x:si>
  <x:si>
    <x:t>Средний</x:t>
  </x:si>
  <x:si>
    <x:t>Готов</x:t>
  </x:si>
  <x:si>
    <x:t>12/10/2025 10:24:19</x:t>
  </x:si>
  <x:si>
    <x:t>konovalova</x:t>
  </x:si>
  <x:si>
    <x:t>0h 10m 0s</x:t>
  </x:si>
  <x:si>
    <x:t>Пользователь должен быть авторизован</x:t>
  </x:si>
  <x:si>
    <x:t>Пользователь авторизован</x:t>
  </x:si>
  <x:si>
    <x:t>Перейти на сайт “Калькулятор меню”</x:t>
  </x:si>
  <x:si>
    <x:t>Открыта главная страница</x:t>
  </x:si>
  <x:si>
    <x:t>Выбрать день недели “Понедельник”</x:t>
  </x:si>
  <x:si>
    <x:t>День недели успешно выбран</x:t>
  </x:si>
  <x:si>
    <x:t>Выбрать блюдо 1 шт</x:t>
  </x:si>
  <x:si>
    <x:t>Меню открылось без ошибок 
Успешно выбрано блюдо 1 шт</x:t>
  </x:si>
  <x:si>
    <x:t>Нажать кнопку “Оплатить заказ”</x:t>
  </x:si>
  <x:si>
    <x:t>Заказ оформлен 
В разделе “История заказов” появился заказ</x:t>
  </x:si>
  <x:si>
    <x:t>Выбрать блюдо 2 шт</x:t>
  </x:si>
  <x:si>
    <x:t>Меню открылось без ошибок 
Успешно выбрано блюдо 2 шт</x:t>
  </x:si>
  <x:si>
    <x:t>Нажать кнопку “Оформить заказ”</x:t>
  </x:si>
  <x:si>
    <x:t>6</x:t>
  </x:si>
  <x:si>
    <x:t>12/10/2025 10:31:02</x:t>
  </x:si>
  <x:si>
    <x:t>Успешно применен 
Меню отображается без ошибок</x:t>
  </x:si>
  <x:si>
    <x:t>Выбрать день недели “Вторник”</x:t>
  </x:si>
  <x:si>
    <x:t>Выбрать день недели “Среда”</x:t>
  </x:si>
  <x:si>
    <x:t>Выбрать день недели “Четверг”</x:t>
  </x:si>
  <x:si>
    <x:t>Выбрать день недели “Пятница”</x:t>
  </x:si>
  <x:si>
    <x:t>Выбрать день недели “Суббота”</x:t>
  </x:si>
  <x:si>
    <x:t>Выбрать день недели “Воскресенье”</x:t>
  </x:si>
  <x:si>
    <x:t>7</x:t>
  </x:si>
  <x:si>
    <x:t>12/10/2025 11:02:53</x:t>
  </x:si>
  <x:si>
    <x:t>Успешно выбран</x:t>
  </x:si>
  <x:si>
    <x:t>Выбрать несколько блюд</x:t>
  </x:si>
  <x:si>
    <x:t>Меню отображается без ошибок 
Успешно выбраны блюда</x:t>
  </x:si>
  <x:si>
    <x:t>Меню отображается без ошибок 
Успешно выбраны несколько блюд</x:t>
  </x:si>
  <x:si>
    <x:t>Вернуться в день недели “Понедельник”</x:t>
  </x:si>
  <x:si>
    <x:t>Выбор не сохранился</x:t>
  </x:si>
  <x:si>
    <x:t>Вернуться в день недели “Вторник”</x:t>
  </x:si>
  <x:si>
    <x:t>8</x:t>
  </x:si>
  <x:si>
    <x:t>12/10/2025 11:26:13</x:t>
  </x:si>
  <x:si>
    <x:t>Пользователь успешно авторизован</x:t>
  </x:si>
  <x:si>
    <x:t>1. Перейти на сайт “Калькулятор меню”</x:t>
  </x:si>
  <x:si>
    <x:t>Не отметить блюдо</x:t>
  </x:si>
  <x:si>
    <x:t>Меню открыто без ошибок
Блюдо не выбрано</x:t>
  </x:si>
  <x:si>
    <x:t>Нажать кнопку “Сделать заказ”</x:t>
  </x:si>
  <x:si>
    <x:t>Уведомление “Нельзя сделать пустой заказ”</x:t>
  </x:si>
  <x:si>
    <x:t>11</x:t>
  </x:si>
  <x:si>
    <x:t>12/10/2025 11:54:28</x:t>
  </x:si>
  <x:si>
    <x:t>Сумма остатка счета правильно отображается</x:t>
  </x:si>
  <x:si>
    <x:t>Остаток счета отображается: 15 456.45</x:t>
  </x:si>
  <x:si>
    <x:t>Успешно применено</x:t>
  </x:si>
  <x:si>
    <x:t>Выбрать блюдо в меню 1 шт</x:t>
  </x:si>
  <x:si>
    <x:t>Меню отображается без ошибок 
Успешно выбрано блюдо 1 шт</x:t>
  </x:si>
  <x:si>
    <x:t>Нажать на кнопку “Сделать заказ”</x:t>
  </x:si>
  <x:si>
    <x:t>Заказ успешно оформлен 
Заказ корректно отображается в разделе “История заказов”</x:t>
  </x:si>
  <x:si>
    <x:t>Проверить остаток счета</x:t>
  </x:si>
  <x:si>
    <x:t>Остаток счета отображается корректно с отступом</x:t>
  </x:si>
  <x:si>
    <x:t>13</x:t>
  </x:si>
  <x:si>
    <x:t>12/11/2025 21:47:51</x:t>
  </x:si>
  <x:si>
    <x:t>Пользователь должен быть авторизован в системе</x:t>
  </x:si>
  <x:si>
    <x:t>Пользователь авторизован в системе</x:t>
  </x:si>
  <x:si>
    <x:t>День успешно выбран</x:t>
  </x:si>
  <x:si>
    <x:t>Выбрать любые блюда</x:t>
  </x:si>
  <x:si>
    <x:t>Меню отображается без ошибок 
Блюда успешно выбраны</x:t>
  </x:si>
  <x:si>
    <x:t>Заказ успешно оформлен 
Корректно отображается в истории заказов</x:t>
  </x:si>
  <x:si>
    <x:t>После оформления нажать ещё раз кнопку “Сделать заказ”</x:t>
  </x:si>
  <x:si>
    <x:t>Кнопка заблокирована</x:t>
  </x:si>
  <x:si>
    <x:t>14</x:t>
  </x:si>
  <x:si>
    <x:t>12/11/2025 22:02:01</x:t>
  </x:si>
  <x:si>
    <x:t>Предположим сохраняется выбор блюд за день недели когда мы переходим в другой</x:t>
  </x:si>
  <x:si>
    <x:t>Выбор успешно сохранен</x:t>
  </x:si>
  <x:si>
    <x:t>Выбрать любые блюда из меню</x:t>
  </x:si>
  <x:si>
    <x:t>Уведомление, что в другой день тоже выбраны блюда</x:t>
  </x:si>
  <x:si>
    <x:t>15</x:t>
  </x:si>
  <x:si>
    <x:t>12/11/2025 22:24:59</x:t>
  </x:si>
  <x:si>
    <x:t>Открыть сайт “Калькулятор меню”</x:t>
  </x:si>
  <x:si>
    <x:t>Перейти на день недели “Понедельник”</x:t>
  </x:si>
  <x:si>
    <x:t>Отметить каждое блюдо по отдельности и вместе</x:t>
  </x:si>
  <x:si>
    <x:t>Меню отображается без ошибок 
Итоговая сумма заказа в обоих случаях отображается корректно</x:t>
  </x:si>
  <x:si>
    <x:t>Перейти на день недели “Вторник”</x:t>
  </x:si>
  <x:si>
    <x:t>Перейти на день недели “Среда”</x:t>
  </x:si>
  <x:si>
    <x:t>Отметить все блюда по отдельности и вместе</x:t>
  </x:si>
  <x:si>
    <x:t>Перейти на день недели “Четверг”</x:t>
  </x:si>
  <x:si>
    <x:t>Перейти на день недели “Пятница”</x:t>
  </x:si>
  <x:si>
    <x:t>Перейти на день недели “Суббота”</x:t>
  </x:si>
  <x:si>
    <x:t>Отметить блюда по отдельности и вместе</x:t>
  </x:si>
  <x:si>
    <x:t>Перейти на день недели “Воскресенье”</x:t>
  </x:si>
  <x:si>
    <x:t>16</x:t>
  </x:si>
  <x:si>
    <x:t>12/13/2025 09:10:41</x:t>
  </x:si>
  <x:si>
    <x:t>Баланс должен быть 0</x:t>
  </x:si>
  <x:si>
    <x:t>Баланс 0</x:t>
  </x:si>
  <x:si>
    <x:t>Добавить любое блюдо</x:t>
  </x:si>
  <x:si>
    <x:t>Меню отображается без ошибок 
Успешно выбрано</x:t>
  </x:si>
  <x:si>
    <x:t>Ошибка, невозможно сделать заказ с 0 счетом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</x:si>
</x:sst>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83" totalsRowShown="0">
  <x:autoFilter ref="A1:Q8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8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1.567768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9.139196" style="1" customWidth="1"/>
    <x:col min="15" max="15" width="11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HYPERLINK("https://team-7r6l.testit.software/projects/1/tests/5", "Smoke test")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2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2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30</x:v>
      </x:c>
      <x:c r="G8" s="1" t="s">
        <x:v>20</x:v>
      </x:c>
      <x:c r="H8" s="1" t="s">
        <x:v>31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36</x:v>
      </x:c>
      <x:c r="G9" s="1" t="s">
        <x:v>20</x:v>
      </x:c>
      <x:c r="H9" s="2" t="s">
        <x:v>37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38</x:v>
      </x:c>
      <x:c r="G10" s="1" t="s">
        <x:v>20</x:v>
      </x:c>
      <x:c r="H10" s="2" t="s">
        <x:v>35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39</x:v>
      </x:c>
      <x:c r="B11" s="2" t="s">
        <x:v>18</x:v>
      </x:c>
      <x:c r="C11" s="2">
        <x:f>HYPERLINK("https://team-7r6l.testit.software/projects/1/tests/6", "Отображение меню в разные дни ")</x:f>
      </x:c>
      <x:c r="D11" s="1" t="s">
        <x:v>19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21</x:v>
      </x:c>
      <x:c r="M11" s="1" t="s">
        <x:v>22</x:v>
      </x:c>
      <x:c r="N11" s="1" t="s">
        <x:v>40</x:v>
      </x:c>
      <x:c r="O11" s="1" t="s">
        <x:v>24</x:v>
      </x:c>
      <x:c r="P11" s="1" t="s">
        <x:v>25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26</x:v>
      </x:c>
      <x:c r="F12" s="1" t="s">
        <x:v>20</x:v>
      </x:c>
      <x:c r="G12" s="1" t="s">
        <x:v>20</x:v>
      </x:c>
      <x:c r="H12" s="1" t="s">
        <x:v>27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28</x:v>
      </x:c>
      <x:c r="G13" s="1" t="s">
        <x:v>20</x:v>
      </x:c>
      <x:c r="H13" s="1" t="s">
        <x:v>29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30</x:v>
      </x:c>
      <x:c r="G14" s="1" t="s">
        <x:v>20</x:v>
      </x:c>
      <x:c r="H14" s="2" t="s">
        <x:v>41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42</x:v>
      </x:c>
      <x:c r="G15" s="1" t="s">
        <x:v>20</x:v>
      </x:c>
      <x:c r="H15" s="2" t="s">
        <x:v>41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43</x:v>
      </x:c>
      <x:c r="G16" s="1" t="s">
        <x:v>20</x:v>
      </x:c>
      <x:c r="H16" s="2" t="s">
        <x:v>41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44</x:v>
      </x:c>
      <x:c r="G17" s="1" t="s">
        <x:v>20</x:v>
      </x:c>
      <x:c r="H17" s="2" t="s">
        <x:v>41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45</x:v>
      </x:c>
      <x:c r="G18" s="1" t="s">
        <x:v>20</x:v>
      </x:c>
      <x:c r="H18" s="2" t="s">
        <x:v>41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46</x:v>
      </x:c>
      <x:c r="G19" s="1" t="s">
        <x:v>20</x:v>
      </x:c>
      <x:c r="H19" s="2" t="s">
        <x:v>41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47</x:v>
      </x:c>
      <x:c r="G20" s="1" t="s">
        <x:v>20</x:v>
      </x:c>
      <x:c r="H20" s="2" t="s">
        <x:v>41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48</x:v>
      </x:c>
      <x:c r="B21" s="2" t="s">
        <x:v>18</x:v>
      </x:c>
      <x:c r="C21" s="2">
        <x:f>HYPERLINK("https://team-7r6l.testit.software/projects/1/tests/7", "Проверка сохранения выбора ")</x:f>
      </x:c>
      <x:c r="D21" s="1" t="s">
        <x:v>19</x:v>
      </x:c>
      <x:c r="E21" s="1" t="s">
        <x:v>20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21</x:v>
      </x:c>
      <x:c r="M21" s="1" t="s">
        <x:v>22</x:v>
      </x:c>
      <x:c r="N21" s="1" t="s">
        <x:v>49</x:v>
      </x:c>
      <x:c r="O21" s="1" t="s">
        <x:v>24</x:v>
      </x:c>
      <x:c r="P21" s="1" t="s">
        <x:v>25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26</x:v>
      </x:c>
      <x:c r="F22" s="1" t="s">
        <x:v>20</x:v>
      </x:c>
      <x:c r="G22" s="1" t="s">
        <x:v>20</x:v>
      </x:c>
      <x:c r="H22" s="1" t="s">
        <x:v>27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28</x:v>
      </x:c>
      <x:c r="G23" s="1" t="s">
        <x:v>20</x:v>
      </x:c>
      <x:c r="H23" s="1" t="s">
        <x:v>29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30</x:v>
      </x:c>
      <x:c r="G24" s="1" t="s">
        <x:v>20</x:v>
      </x:c>
      <x:c r="H24" s="1" t="s">
        <x:v>50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51</x:v>
      </x:c>
      <x:c r="G25" s="1" t="s">
        <x:v>20</x:v>
      </x:c>
      <x:c r="H25" s="2" t="s">
        <x:v>52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42</x:v>
      </x:c>
      <x:c r="G26" s="1" t="s">
        <x:v>20</x:v>
      </x:c>
      <x:c r="H26" s="1" t="s">
        <x:v>50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51</x:v>
      </x:c>
      <x:c r="G27" s="1" t="s">
        <x:v>20</x:v>
      </x:c>
      <x:c r="H27" s="2" t="s">
        <x:v>53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54</x:v>
      </x:c>
      <x:c r="G28" s="1" t="s">
        <x:v>20</x:v>
      </x:c>
      <x:c r="H28" s="1" t="s">
        <x:v>55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56</x:v>
      </x:c>
      <x:c r="G29" s="1" t="s">
        <x:v>20</x:v>
      </x:c>
      <x:c r="H29" s="1" t="s">
        <x:v>55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57</x:v>
      </x:c>
      <x:c r="B30" s="2" t="s">
        <x:v>18</x:v>
      </x:c>
      <x:c r="C30" s="2">
        <x:f>HYPERLINK("https://team-7r6l.testit.software/projects/1/tests/8", "Проверка оформления пустого заказа")</x:f>
      </x:c>
      <x:c r="D30" s="1" t="s">
        <x:v>19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21</x:v>
      </x:c>
      <x:c r="M30" s="1" t="s">
        <x:v>22</x:v>
      </x:c>
      <x:c r="N30" s="1" t="s">
        <x:v>58</x:v>
      </x:c>
      <x:c r="O30" s="1" t="s">
        <x:v>24</x:v>
      </x:c>
      <x:c r="P30" s="1" t="s">
        <x:v>25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26</x:v>
      </x:c>
      <x:c r="F31" s="1" t="s">
        <x:v>20</x:v>
      </x:c>
      <x:c r="G31" s="1" t="s">
        <x:v>20</x:v>
      </x:c>
      <x:c r="H31" s="1" t="s">
        <x:v>59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60</x:v>
      </x:c>
      <x:c r="G32" s="1" t="s">
        <x:v>20</x:v>
      </x:c>
      <x:c r="H32" s="1" t="s">
        <x:v>29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30</x:v>
      </x:c>
      <x:c r="G33" s="1" t="s">
        <x:v>20</x:v>
      </x:c>
      <x:c r="H33" s="1" t="s">
        <x:v>50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61</x:v>
      </x:c>
      <x:c r="G34" s="1" t="s">
        <x:v>20</x:v>
      </x:c>
      <x:c r="H34" s="2" t="s">
        <x:v>62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63</x:v>
      </x:c>
      <x:c r="G35" s="1" t="s">
        <x:v>20</x:v>
      </x:c>
      <x:c r="H35" s="1" t="s">
        <x:v>64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65</x:v>
      </x:c>
      <x:c r="B36" s="2" t="s">
        <x:v>18</x:v>
      </x:c>
      <x:c r="C36" s="2">
        <x:f>HYPERLINK("https://team-7r6l.testit.software/projects/1/tests/11", "Проверка корректности отображения счета ")</x:f>
      </x:c>
      <x:c r="D36" s="1" t="s">
        <x:v>19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21</x:v>
      </x:c>
      <x:c r="M36" s="1" t="s">
        <x:v>22</x:v>
      </x:c>
      <x:c r="N36" s="1" t="s">
        <x:v>66</x:v>
      </x:c>
      <x:c r="O36" s="1" t="s">
        <x:v>24</x:v>
      </x:c>
      <x:c r="P36" s="1" t="s">
        <x:v>25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26</x:v>
      </x:c>
      <x:c r="F37" s="1" t="s">
        <x:v>20</x:v>
      </x:c>
      <x:c r="G37" s="1" t="s">
        <x:v>20</x:v>
      </x:c>
      <x:c r="H37" s="1" t="s">
        <x:v>59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67</x:v>
      </x:c>
      <x:c r="F38" s="1" t="s">
        <x:v>20</x:v>
      </x:c>
      <x:c r="G38" s="1" t="s">
        <x:v>20</x:v>
      </x:c>
      <x:c r="H38" s="1" t="s">
        <x:v>68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60</x:v>
      </x:c>
      <x:c r="G39" s="1" t="s">
        <x:v>20</x:v>
      </x:c>
      <x:c r="H39" s="1" t="s">
        <x:v>29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42</x:v>
      </x:c>
      <x:c r="G40" s="1" t="s">
        <x:v>20</x:v>
      </x:c>
      <x:c r="H40" s="1" t="s">
        <x:v>69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70</x:v>
      </x:c>
      <x:c r="G41" s="1" t="s">
        <x:v>20</x:v>
      </x:c>
      <x:c r="H41" s="2" t="s">
        <x:v>71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72</x:v>
      </x:c>
      <x:c r="G42" s="1" t="s">
        <x:v>20</x:v>
      </x:c>
      <x:c r="H42" s="2" t="s">
        <x:v>73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74</x:v>
      </x:c>
      <x:c r="G43" s="1" t="s">
        <x:v>20</x:v>
      </x:c>
      <x:c r="H43" s="1" t="s">
        <x:v>75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76</x:v>
      </x:c>
      <x:c r="B44" s="2" t="s">
        <x:v>18</x:v>
      </x:c>
      <x:c r="C44" s="2">
        <x:f>HYPERLINK("https://team-7r6l.testit.software/projects/1/tests/13", "Проверка блокировки кнопки ""Сделать заказ"" после его оформления ")</x:f>
      </x:c>
      <x:c r="D44" s="1" t="s">
        <x:v>19</x:v>
      </x:c>
      <x:c r="E44" s="1" t="s">
        <x:v>20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21</x:v>
      </x:c>
      <x:c r="M44" s="1" t="s">
        <x:v>22</x:v>
      </x:c>
      <x:c r="N44" s="1" t="s">
        <x:v>77</x:v>
      </x:c>
      <x:c r="O44" s="1" t="s">
        <x:v>24</x:v>
      </x:c>
      <x:c r="P44" s="1" t="s">
        <x:v>25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78</x:v>
      </x:c>
      <x:c r="F45" s="1" t="s">
        <x:v>20</x:v>
      </x:c>
      <x:c r="G45" s="1" t="s">
        <x:v>20</x:v>
      </x:c>
      <x:c r="H45" s="1" t="s">
        <x:v>79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28</x:v>
      </x:c>
      <x:c r="G46" s="1" t="s">
        <x:v>20</x:v>
      </x:c>
      <x:c r="H46" s="1" t="s">
        <x:v>29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30</x:v>
      </x:c>
      <x:c r="G47" s="1" t="s">
        <x:v>20</x:v>
      </x:c>
      <x:c r="H47" s="1" t="s">
        <x:v>80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81</x:v>
      </x:c>
      <x:c r="G48" s="1" t="s">
        <x:v>20</x:v>
      </x:c>
      <x:c r="H48" s="2" t="s">
        <x:v>82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63</x:v>
      </x:c>
      <x:c r="G49" s="1" t="s">
        <x:v>20</x:v>
      </x:c>
      <x:c r="H49" s="2" t="s">
        <x:v>83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84</x:v>
      </x:c>
      <x:c r="G50" s="1" t="s">
        <x:v>20</x:v>
      </x:c>
      <x:c r="H50" s="1" t="s">
        <x:v>85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86</x:v>
      </x:c>
      <x:c r="B51" s="2" t="s">
        <x:v>18</x:v>
      </x:c>
      <x:c r="C51" s="2">
        <x:f>HYPERLINK("https://team-7r6l.testit.software/projects/1/tests/14", "Проверка корректного списания денег ")</x:f>
      </x:c>
      <x:c r="D51" s="1" t="s">
        <x:v>19</x:v>
      </x:c>
      <x:c r="E51" s="1" t="s">
        <x:v>20</x:v>
      </x:c>
      <x:c r="F51" s="1" t="s">
        <x:v>20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21</x:v>
      </x:c>
      <x:c r="M51" s="1" t="s">
        <x:v>22</x:v>
      </x:c>
      <x:c r="N51" s="1" t="s">
        <x:v>87</x:v>
      </x:c>
      <x:c r="O51" s="1" t="s">
        <x:v>24</x:v>
      </x:c>
      <x:c r="P51" s="1" t="s">
        <x:v>25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26</x:v>
      </x:c>
      <x:c r="F52" s="1" t="s">
        <x:v>20</x:v>
      </x:c>
      <x:c r="G52" s="1" t="s">
        <x:v>20</x:v>
      </x:c>
      <x:c r="H52" s="1" t="s">
        <x:v>59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88</x:v>
      </x:c>
      <x:c r="F53" s="1" t="s">
        <x:v>20</x:v>
      </x:c>
      <x:c r="G53" s="1" t="s">
        <x:v>20</x:v>
      </x:c>
      <x:c r="H53" s="1" t="s">
        <x:v>89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28</x:v>
      </x:c>
      <x:c r="G54" s="1" t="s">
        <x:v>20</x:v>
      </x:c>
      <x:c r="H54" s="1" t="s">
        <x:v>29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30</x:v>
      </x:c>
      <x:c r="G55" s="1" t="s">
        <x:v>20</x:v>
      </x:c>
      <x:c r="H55" s="1" t="s">
        <x:v>80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90</x:v>
      </x:c>
      <x:c r="G56" s="1" t="s">
        <x:v>20</x:v>
      </x:c>
      <x:c r="H56" s="2" t="s">
        <x:v>52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42</x:v>
      </x:c>
      <x:c r="G57" s="1" t="s">
        <x:v>20</x:v>
      </x:c>
      <x:c r="H57" s="1" t="s">
        <x:v>80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90</x:v>
      </x:c>
      <x:c r="G58" s="1" t="s">
        <x:v>20</x:v>
      </x:c>
      <x:c r="H58" s="2" t="s">
        <x:v>52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63</x:v>
      </x:c>
      <x:c r="G59" s="1" t="s">
        <x:v>20</x:v>
      </x:c>
      <x:c r="H59" s="1" t="s">
        <x:v>91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92</x:v>
      </x:c>
      <x:c r="B60" s="2" t="s">
        <x:v>18</x:v>
      </x:c>
      <x:c r="C60" s="2">
        <x:f>HYPERLINK("https://team-7r6l.testit.software/projects/1/tests/15", "Проверка отображение корректности отображения суммы блюда ")</x:f>
      </x:c>
      <x:c r="D60" s="1" t="s">
        <x:v>19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21</x:v>
      </x:c>
      <x:c r="M60" s="1" t="s">
        <x:v>22</x:v>
      </x:c>
      <x:c r="N60" s="1" t="s">
        <x:v>93</x:v>
      </x:c>
      <x:c r="O60" s="1" t="s">
        <x:v>24</x:v>
      </x:c>
      <x:c r="P60" s="1" t="s">
        <x:v>25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26</x:v>
      </x:c>
      <x:c r="F61" s="1" t="s">
        <x:v>20</x:v>
      </x:c>
      <x:c r="G61" s="1" t="s">
        <x:v>20</x:v>
      </x:c>
      <x:c r="H61" s="1" t="s">
        <x:v>59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94</x:v>
      </x:c>
      <x:c r="G62" s="1" t="s">
        <x:v>20</x:v>
      </x:c>
      <x:c r="H62" s="1" t="s">
        <x:v>29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95</x:v>
      </x:c>
      <x:c r="G63" s="1" t="s">
        <x:v>20</x:v>
      </x:c>
      <x:c r="H63" s="1" t="s">
        <x:v>69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96</x:v>
      </x:c>
      <x:c r="G64" s="1" t="s">
        <x:v>20</x:v>
      </x:c>
      <x:c r="H64" s="2" t="s">
        <x:v>97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98</x:v>
      </x:c>
      <x:c r="G65" s="1" t="s">
        <x:v>20</x:v>
      </x:c>
      <x:c r="H65" s="1" t="s">
        <x:v>69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96</x:v>
      </x:c>
      <x:c r="G66" s="1" t="s">
        <x:v>20</x:v>
      </x:c>
      <x:c r="H66" s="2" t="s">
        <x:v>97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99</x:v>
      </x:c>
      <x:c r="G67" s="1" t="s">
        <x:v>20</x:v>
      </x:c>
      <x:c r="H67" s="1" t="s">
        <x:v>69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100</x:v>
      </x:c>
      <x:c r="G68" s="1" t="s">
        <x:v>20</x:v>
      </x:c>
      <x:c r="H68" s="2" t="s">
        <x:v>97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101</x:v>
      </x:c>
      <x:c r="G69" s="1" t="s">
        <x:v>20</x:v>
      </x:c>
      <x:c r="H69" s="1" t="s">
        <x:v>69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100</x:v>
      </x:c>
      <x:c r="G70" s="1" t="s">
        <x:v>20</x:v>
      </x:c>
      <x:c r="H70" s="2" t="s">
        <x:v>97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102</x:v>
      </x:c>
      <x:c r="G71" s="1" t="s">
        <x:v>20</x:v>
      </x:c>
      <x:c r="H71" s="1" t="s">
        <x:v>69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100</x:v>
      </x:c>
      <x:c r="G72" s="1" t="s">
        <x:v>20</x:v>
      </x:c>
      <x:c r="H72" s="2" t="s">
        <x:v>97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103</x:v>
      </x:c>
      <x:c r="G73" s="1" t="s">
        <x:v>20</x:v>
      </x:c>
      <x:c r="H73" s="1" t="s">
        <x:v>69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104</x:v>
      </x:c>
      <x:c r="G74" s="1" t="s">
        <x:v>20</x:v>
      </x:c>
      <x:c r="H74" s="2" t="s">
        <x:v>97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105</x:v>
      </x:c>
      <x:c r="G75" s="1" t="s">
        <x:v>20</x:v>
      </x:c>
      <x:c r="H75" s="1" t="s">
        <x:v>69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100</x:v>
      </x:c>
      <x:c r="G76" s="1" t="s">
        <x:v>20</x:v>
      </x:c>
      <x:c r="H76" s="2" t="s">
        <x:v>97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106</x:v>
      </x:c>
      <x:c r="B77" s="2" t="s">
        <x:v>18</x:v>
      </x:c>
      <x:c r="C77" s="2">
        <x:f>HYPERLINK("https://team-7r6l.testit.software/projects/1/tests/16", "Проверка создания заказа с 0 балансом ")</x:f>
      </x:c>
      <x:c r="D77" s="1" t="s">
        <x:v>19</x:v>
      </x:c>
      <x:c r="E77" s="1" t="s">
        <x:v>20</x:v>
      </x:c>
      <x:c r="F77" s="1" t="s">
        <x:v>20</x:v>
      </x:c>
      <x:c r="G77" s="1" t="s">
        <x:v>20</x:v>
      </x:c>
      <x:c r="H77" s="1" t="s">
        <x:v>20</x:v>
      </x:c>
      <x:c r="I77" s="1" t="s">
        <x:v>20</x:v>
      </x:c>
      <x:c r="J77" s="1" t="s">
        <x:v>20</x:v>
      </x:c>
      <x:c r="K77" s="1" t="s">
        <x:v>20</x:v>
      </x:c>
      <x:c r="L77" s="1" t="s">
        <x:v>21</x:v>
      </x:c>
      <x:c r="M77" s="1" t="s">
        <x:v>22</x:v>
      </x:c>
      <x:c r="N77" s="1" t="s">
        <x:v>107</x:v>
      </x:c>
      <x:c r="O77" s="1" t="s">
        <x:v>24</x:v>
      </x:c>
      <x:c r="P77" s="1" t="s">
        <x:v>25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26</x:v>
      </x:c>
      <x:c r="F78" s="1" t="s">
        <x:v>20</x:v>
      </x:c>
      <x:c r="G78" s="1" t="s">
        <x:v>20</x:v>
      </x:c>
      <x:c r="H78" s="1" t="s">
        <x:v>59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108</x:v>
      </x:c>
      <x:c r="F79" s="1" t="s">
        <x:v>20</x:v>
      </x:c>
      <x:c r="G79" s="1" t="s">
        <x:v>20</x:v>
      </x:c>
      <x:c r="H79" s="1" t="s">
        <x:v>109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94</x:v>
      </x:c>
      <x:c r="G80" s="1" t="s">
        <x:v>20</x:v>
      </x:c>
      <x:c r="H80" s="1" t="s">
        <x:v>29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30</x:v>
      </x:c>
      <x:c r="G81" s="1" t="s">
        <x:v>20</x:v>
      </x:c>
      <x:c r="H81" s="1" t="s">
        <x:v>50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110</x:v>
      </x:c>
      <x:c r="G82" s="1" t="s">
        <x:v>20</x:v>
      </x:c>
      <x:c r="H82" s="2" t="s">
        <x:v>111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63</x:v>
      </x:c>
      <x:c r="G83" s="1" t="s">
        <x:v>20</x:v>
      </x:c>
      <x:c r="H83" s="1" t="s">
        <x:v>112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Project_qa sandbox</vt:lpstr>
      <vt:lpstr>Project_qa sandbox!Print_Area</vt:lpstr>
      <vt:lpstr>Project_qa sandbox!Print_Titles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