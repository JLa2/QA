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504a928d445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3c140c45ef49de9a0521877bc2f535.psmdcp" Id="R88f2c3b55422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qa sandbox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3" i="1"/>
  <x:c r="C24" i="1"/>
  <x:c r="C34" i="1"/>
  <x:c r="C42" i="1"/>
  <x:c r="C49" i="1"/>
  <x:c r="C55" i="1"/>
  <x:c r="C63" i="1"/>
  <x:c r="C72" i="1"/>
  <x:c r="C81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<x:sst xmlns:x="http://schemas.openxmlformats.org/spreadsheetml/2006/main">
  <x:si>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</x:si>
  <x:si>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</x:si>
  <x:si>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</x:si>
  <x:si>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</x:si>
  <x:si>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</x:si>
  <x:si>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</x:si>
  <x:si>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</x:si>
  <x:si>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</x:si>
  <x:si>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</x:si>
  <x:si>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</x:si>
  <x:si>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</x:si>
  <x:si>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</x:si>
  <x:si>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</x:si>
  <x:si>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</x:si>
  <x:si>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</x:si>
  <x:si>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</x:si>
  <x:si>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</x:si>
  <x:si>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59</x:t>
  </x:si>
  <x:si>
    <x:t>qa sandbox -&gt; Баг-маркет</x:t>
  </x:si>
  <x:si>
    <x:t>Нет</x:t>
  </x:si>
  <x:si>
    <x:t/>
  </x:si>
  <x:si>
    <x:t>Средний</x:t>
  </x:si>
  <x:si>
    <x:t>Готов</x:t>
  </x:si>
  <x:si>
    <x:t>12/22/2025 12:17:14</x:t>
  </x:si>
  <x:si>
    <x:t>konovalova</x:t>
  </x:si>
  <x:si>
    <x:t>0h 10m 0s</x:t>
  </x:si>
  <x:si>
    <x:t>Пользователь должен быть авторизован</x:t>
  </x:si>
  <x:si>
    <x:t>Пользователь авторизован</x:t>
  </x:si>
  <x:si>
    <x:t>Открыть главную страницу “БагМаркет”</x:t>
  </x:si>
  <x:si>
    <x:t>Открыта главная страница</x:t>
  </x:si>
  <x:si>
    <x:t>Открыть раздел “Каталог товаров”</x:t>
  </x:si>
  <x:si>
    <x:t>Отображается без ошибок</x:t>
  </x:si>
  <x:si>
    <x:t>В выпадающем списке “Сортировка” выбрать: Цена: по возрастанию, цена: по убыванию, по названию</x:t>
  </x:si>
  <x:si>
    <x:t>Каталог обновился при изменениях 
Отображается без ошибок</x:t>
  </x:si>
  <x:si>
    <x:t>В выпадающем списке “Категории” выбрать: электроника, одежда, продукты</x:t>
  </x:si>
  <x:si>
    <x:t>Добавить в корзину товары которых нет в наличии</x:t>
  </x:si>
  <x:si>
    <x:t>Товар невозможно добавить в корзину 
Кнопка “Добавить в корзину” деактивирована</x:t>
  </x:si>
  <x:si>
    <x:t>Ввести в поиск “Смартфон”</x:t>
  </x:si>
  <x:si>
    <x:t>Каталог обновился, отображает товары по запросу</x:t>
  </x:si>
  <x:si>
    <x:t>В выпадающем списке “Сортировка” выбрать: цена: по возрастанию</x:t>
  </x:si>
  <x:si>
    <x:t>Каталог обновился, отображает товары по запросу и отсортированы без ошибок</x:t>
  </x:si>
  <x:si>
    <x:t>В выпадающем списке категории выбрать: электроника</x:t>
  </x:si>
  <x:si>
    <x:t>Каталог обновился, отображает товары по запросу и отсортирован и категория отображается без ошибок</x:t>
  </x:si>
  <x:si>
    <x:t>Нажать на кнопку “Добавить в корзину” на любой товар в наличии</x:t>
  </x:si>
  <x:si>
    <x:t>Товар успешно добавлен в корзину</x:t>
  </x:si>
  <x:si>
    <x:t>60</x:t>
  </x:si>
  <x:si>
    <x:t>12/22/2025 20:23:16</x:t>
  </x:si>
  <x:si>
    <x:t>Открыть сайт “БагМракет”</x:t>
  </x:si>
  <x:si>
    <x:t>Перейти в раздел “Регистрация”</x:t>
  </x:si>
  <x:si>
    <x:t>В поле “Имя пользователя” ввести валидные данные: Юлия</x:t>
  </x:si>
  <x:si>
    <x:t>Данные валидны</x:t>
  </x:si>
  <x:si>
    <x:t>В поле “Email” ввести валидные данные: test1234@mail.com</x:t>
  </x:si>
  <x:si>
    <x:t>В поле “Пароль” ввести валидные данные: Test567!</x:t>
  </x:si>
  <x:si>
    <x:t>В поле “Подтвердить пароль” ввести данные из предыдущего шага</x:t>
  </x:si>
  <x:si>
    <x:t>В поле “Возраст” ввести валидные данные: 20</x:t>
  </x:si>
  <x:si>
    <x:t>В поле “Телефон” ввести валидные данные: +79165795962</x:t>
  </x:si>
  <x:si>
    <x:t>Отметить чек-бокс “Я согласен с условиями пользования”</x:t>
  </x:si>
  <x:si>
    <x:t>Чек-бокс успешно отмечен</x:t>
  </x:si>
  <x:si>
    <x:t>Нажать кнопку “Зарегистрироваться”</x:t>
  </x:si>
  <x:si>
    <x:t>Система перешла в состояние авторизованного пользователя</x:t>
  </x:si>
  <x:si>
    <x:t>61</x:t>
  </x:si>
  <x:si>
    <x:t>12/22/2025 20:35:33</x:t>
  </x:si>
  <x:si>
    <x:t>Открыть сайт “БагМаркет”</x:t>
  </x:si>
  <x:si>
    <x:t>Перейти в раздел “Каталог товаров”</x:t>
  </x:si>
  <x:si>
    <x:t>Добавить товар в корзину</x:t>
  </x:si>
  <x:si>
    <x:t>Перейти в раздел “Корзина”</x:t>
  </x:si>
  <x:si>
    <x:t>Товар корректно отображается в корзине
Итоговая сумма рассчитана без ошибок</x:t>
  </x:si>
  <x:si>
    <x:t>Выбрать несколько штук позиции товара</x:t>
  </x:si>
  <x:si>
    <x:t>Успешно применено 
Итоговая сумма обновилась корректно</x:t>
  </x:si>
  <x:si>
    <x:t>В поле “Промокод” ввести валидный промокод</x:t>
  </x:si>
  <x:si>
    <x:t>Промокод валидный</x:t>
  </x:si>
  <x:si>
    <x:t>Нажать кнопку “Применить”</x:t>
  </x:si>
  <x:si>
    <x:t>Успешно применен 
Итоговая сумма обновилась корректно</x:t>
  </x:si>
  <x:si>
    <x:t>Нажать кнопку “Сделать заказ”</x:t>
  </x:si>
  <x:si>
    <x:t>Заказ успешно оформлен</x:t>
  </x:si>
  <x:si>
    <x:t>62</x:t>
  </x:si>
  <x:si>
    <x:t>12/22/2025 20:41:15</x:t>
  </x:si>
  <x:si>
    <x:t>Пользователь успешно авторизован</x:t>
  </x:si>
  <x:si>
    <x:t>Перейти в раздел “Калькулятор стоимости”</x:t>
  </x:si>
  <x:si>
    <x:t>В поле “Количество товаров” ввести валидные данные: 1</x:t>
  </x:si>
  <x:si>
    <x:t>Данные применены</x:t>
  </x:si>
  <x:si>
    <x:t>В поле “Цена за штуку” ввести валидные данные: 100</x:t>
  </x:si>
  <x:si>
    <x:t>В поле “Скидка (%)” ввести валидные данные: 10</x:t>
  </x:si>
  <x:si>
    <x:t>Нажать кнопку “Рассчитать”</x:t>
  </x:si>
  <x:si>
    <x:t>Результат рассчитан корректно</x:t>
  </x:si>
  <x:si>
    <x:t>63</x:t>
  </x:si>
  <x:si>
    <x:t>12/22/2025 20:45:27</x:t>
  </x:si>
  <x:si>
    <x:t>Перейти в раздел “Отзывы пользователей”</x:t>
  </x:si>
  <x:si>
    <x:t>В поле “Ваш отзыв” ввести любой текст</x:t>
  </x:si>
  <x:si>
    <x:t>Данные валидные</x:t>
  </x:si>
  <x:si>
    <x:t>В выпадающем списке “Оценка” выбрать любую оценку</x:t>
  </x:si>
  <x:si>
    <x:t>Оценка успешно применена</x:t>
  </x:si>
  <x:si>
    <x:t>Нажать кнопку “Отправить отзыв”</x:t>
  </x:si>
  <x:si>
    <x:t>Отзыв отправлен корректно</x:t>
  </x:si>
  <x:si>
    <x:t>64</x:t>
  </x:si>
  <x:si>
    <x:t>12/22/2025 20:48:13</x:t>
  </x:si>
  <x:si>
    <x:t>Перейти в раздел “Сравнение товаров”</x:t>
  </x:si>
  <x:si>
    <x:t>Ввести название товаров которые нужно сравнить</x:t>
  </x:si>
  <x:si>
    <x:t>Успешно применено</x:t>
  </x:si>
  <x:si>
    <x:t>Ввести характеристики товаров которые нужно сравнить</x:t>
  </x:si>
  <x:si>
    <x:t>65</x:t>
  </x:si>
  <x:si>
    <x:t>12/22/2025 20:51:55</x:t>
  </x:si>
  <x:si>
    <x:t>Перейти в раздел “Контакты”</x:t>
  </x:si>
  <x:si>
    <x:t>В поле “Ваше имя” ввести валидные данные: Юлия</x:t>
  </x:si>
  <x:si>
    <x:t>В поле “Сообщение” ввести любой текст</x:t>
  </x:si>
  <x:si>
    <x:t>Нажать кнопку “Отправить”</x:t>
  </x:si>
  <x:si>
    <x:t>Сообщение успешно отправлено</x:t>
  </x:si>
  <x:si>
    <x:t>56</x:t>
  </x:si>
  <x:si>
    <x:t>12/22/2025 11:50:27</x:t>
  </x:si>
  <x:si>
    <x:t>Перейти в раздел регистрация</x:t>
  </x:si>
  <x:si>
    <x:t>В поле “Имя пользователя” ввести цифры, буквы (кириллица, латиница), спецзнаки</x:t>
  </x:si>
  <x:si>
    <x:t>Валидация есть 
Нельзя использовать цифры, спецзнаки</x:t>
  </x:si>
  <x:si>
    <x:t>В поле “Email” ввести цифры, буквы (кириллица, латиница), спецзнаки</x:t>
  </x:si>
  <x:si>
    <x:t>Валидация есть 
Можно использовать цифры, буквы (кириллица, латиница), спецзнаки</x:t>
  </x:si>
  <x:si>
    <x:t>В поле “Пароль” ввести цифры, буквы (кириллица, латиница), спецзнаки</x:t>
  </x:si>
  <x:si>
    <x:t>Валидация есть 
Можно использовать цифры, буквы (латиница), спецзнаки</x:t>
  </x:si>
  <x:si>
    <x:t>В поле “Повторить пароль” ввести цифры, буквы (кириллица, латиница), спецзнаки</x:t>
  </x:si>
  <x:si>
    <x:t>В поле “Возраст” ввести цифры, буквы, спецзнаки</x:t>
  </x:si>
  <x:si>
    <x:t>Валидация есть 
Можно использовать только цифры</x:t>
  </x:si>
  <x:si>
    <x:t>В поле “Телефон” ввести цифры, буквы, спецзнаки</x:t>
  </x:si>
  <x:si>
    <x:t>Валидация есть 
Можно использовать только цифры и спецзнаки (+)</x:t>
  </x:si>
  <x:si>
    <x:t>57</x:t>
  </x:si>
  <x:si>
    <x:t>12/22/2025 11:57:34</x:t>
  </x:si>
  <x:si>
    <x:t>В поле “Имя пользователя” ввести данные: Имя пользователя</x:t>
  </x:si>
  <x:si>
    <x:t>Неверное имя пользователя</x:t>
  </x:si>
  <x:si>
    <x:t>В поле “Email” ввести данные: email@mail.com</x:t>
  </x:si>
  <x:si>
    <x:t>Неверный “Email”</x:t>
  </x:si>
  <x:si>
    <x:t>В поле “Пароль” ввести данные: 123</x:t>
  </x:si>
  <x:si>
    <x:t>Неверный Пароль</x:t>
  </x:si>
  <x:si>
    <x:t>В поле “Возраст” ввести данные: -20</x:t>
  </x:si>
  <x:si>
    <x:t>Некорректный возраст</x:t>
  </x:si>
  <x:si>
    <x:t>В поле “Телефон” ввести данные: 09876543211</x:t>
  </x:si>
  <x:si>
    <x:t>Некорректный номер телефона</x:t>
  </x:si>
  <x:si>
    <x:t>Ошибка регистрации</x:t>
  </x:si>
  <x:si>
    <x:t>58</x:t>
  </x:si>
  <x:si>
    <x:t>12/22/2025 12:06:42</x:t>
  </x:si>
  <x:si>
    <x:t>Оставить все поля пустыми</x:t>
  </x:si>
  <x:si>
    <x:t>Поля пустые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</x:si>
</x:sst>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85" totalsRowShown="0">
  <x:autoFilter ref="A1:Q8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8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4.282054" style="2" customWidth="1"/>
    <x:col min="3" max="3" width="50.710625" style="2" customWidth="1"/>
    <x:col min="4" max="4" width="20.139196" style="1" customWidth="1"/>
    <x:col min="5" max="5" width="39.282054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9.139196" style="1" customWidth="1"/>
    <x:col min="15" max="15" width="11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HYPERLINK("https://team-7r6l.testit.software/projects/1/tests/59", "Smoke test ""Каталог товаров"" 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2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2" t="s">
        <x:v>33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35</x:v>
      </x:c>
      <x:c r="G8" s="1" t="s">
        <x:v>20</x:v>
      </x:c>
      <x:c r="H8" s="2" t="s">
        <x:v>36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37</x:v>
      </x:c>
      <x:c r="G9" s="1" t="s">
        <x:v>20</x:v>
      </x:c>
      <x:c r="H9" s="1" t="s">
        <x:v>38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39</x:v>
      </x:c>
      <x:c r="G10" s="1" t="s">
        <x:v>20</x:v>
      </x:c>
      <x:c r="H10" s="1" t="s">
        <x:v>40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41</x:v>
      </x:c>
      <x:c r="G11" s="1" t="s">
        <x:v>20</x:v>
      </x:c>
      <x:c r="H11" s="1" t="s">
        <x:v>42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43</x:v>
      </x:c>
      <x:c r="G12" s="1" t="s">
        <x:v>20</x:v>
      </x:c>
      <x:c r="H12" s="1" t="s">
        <x:v>44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45</x:v>
      </x:c>
      <x:c r="B13" s="2" t="s">
        <x:v>18</x:v>
      </x:c>
      <x:c r="C13" s="2">
        <x:f>HYPERLINK("https://team-7r6l.testit.software/projects/1/tests/60", "Smoke test раздела ""Регистрация"".")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22</x:v>
      </x:c>
      <x:c r="N13" s="1" t="s">
        <x:v>46</x:v>
      </x:c>
      <x:c r="O13" s="1" t="s">
        <x:v>24</x:v>
      </x:c>
      <x:c r="P13" s="1" t="s">
        <x:v>25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47</x:v>
      </x:c>
      <x:c r="G14" s="1" t="s">
        <x:v>20</x:v>
      </x:c>
      <x:c r="H14" s="1" t="s">
        <x:v>29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48</x:v>
      </x:c>
      <x:c r="G15" s="1" t="s">
        <x:v>20</x:v>
      </x:c>
      <x:c r="H15" s="1" t="s">
        <x:v>31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49</x:v>
      </x:c>
      <x:c r="G16" s="1" t="s">
        <x:v>20</x:v>
      </x:c>
      <x:c r="H16" s="1" t="s">
        <x:v>50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51</x:v>
      </x:c>
      <x:c r="G17" s="1" t="s">
        <x:v>20</x:v>
      </x:c>
      <x:c r="H17" s="1" t="s">
        <x:v>50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52</x:v>
      </x:c>
      <x:c r="G18" s="1" t="s">
        <x:v>20</x:v>
      </x:c>
      <x:c r="H18" s="1" t="s">
        <x:v>50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53</x:v>
      </x:c>
      <x:c r="G19" s="1" t="s">
        <x:v>20</x:v>
      </x:c>
      <x:c r="H19" s="1" t="s">
        <x:v>50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54</x:v>
      </x:c>
      <x:c r="G20" s="1" t="s">
        <x:v>20</x:v>
      </x:c>
      <x:c r="H20" s="1" t="s">
        <x:v>50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55</x:v>
      </x:c>
      <x:c r="G21" s="1" t="s">
        <x:v>20</x:v>
      </x:c>
      <x:c r="H21" s="1" t="s">
        <x:v>50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56</x:v>
      </x:c>
      <x:c r="G22" s="1" t="s">
        <x:v>20</x:v>
      </x:c>
      <x:c r="H22" s="1" t="s">
        <x:v>57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58</x:v>
      </x:c>
      <x:c r="G23" s="1" t="s">
        <x:v>20</x:v>
      </x:c>
      <x:c r="H23" s="1" t="s">
        <x:v>59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60</x:v>
      </x:c>
      <x:c r="B24" s="2" t="s">
        <x:v>18</x:v>
      </x:c>
      <x:c r="C24" s="2">
        <x:f>HYPERLINK("https://team-7r6l.testit.software/projects/1/tests/61", "Smoke test ""Корзина"".")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22</x:v>
      </x:c>
      <x:c r="N24" s="1" t="s">
        <x:v>61</x:v>
      </x:c>
      <x:c r="O24" s="1" t="s">
        <x:v>24</x:v>
      </x:c>
      <x:c r="P24" s="1" t="s">
        <x:v>25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26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62</x:v>
      </x:c>
      <x:c r="G26" s="1" t="s">
        <x:v>20</x:v>
      </x:c>
      <x:c r="H26" s="1" t="s">
        <x:v>29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63</x:v>
      </x:c>
      <x:c r="G27" s="1" t="s">
        <x:v>20</x:v>
      </x:c>
      <x:c r="H27" s="1" t="s">
        <x:v>31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64</x:v>
      </x:c>
      <x:c r="G28" s="1" t="s">
        <x:v>20</x:v>
      </x:c>
      <x:c r="H28" s="1" t="s">
        <x:v>44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65</x:v>
      </x:c>
      <x:c r="G29" s="1" t="s">
        <x:v>20</x:v>
      </x:c>
      <x:c r="H29" s="2" t="s">
        <x:v>66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67</x:v>
      </x:c>
      <x:c r="G30" s="1" t="s">
        <x:v>20</x:v>
      </x:c>
      <x:c r="H30" s="2" t="s">
        <x:v>68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69</x:v>
      </x:c>
      <x:c r="G31" s="1" t="s">
        <x:v>20</x:v>
      </x:c>
      <x:c r="H31" s="1" t="s">
        <x:v>70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71</x:v>
      </x:c>
      <x:c r="G32" s="1" t="s">
        <x:v>20</x:v>
      </x:c>
      <x:c r="H32" s="2" t="s">
        <x:v>72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73</x:v>
      </x:c>
      <x:c r="G33" s="1" t="s">
        <x:v>20</x:v>
      </x:c>
      <x:c r="H33" s="1" t="s">
        <x:v>74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75</x:v>
      </x:c>
      <x:c r="B34" s="2" t="s">
        <x:v>18</x:v>
      </x:c>
      <x:c r="C34" s="2">
        <x:f>HYPERLINK("https://team-7r6l.testit.software/projects/1/tests/62", "Smoke test ""Калькулятор стоимости""")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76</x:v>
      </x:c>
      <x:c r="O34" s="1" t="s">
        <x:v>24</x:v>
      </x:c>
      <x:c r="P34" s="1" t="s">
        <x:v>25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26</x:v>
      </x:c>
      <x:c r="F35" s="1" t="s">
        <x:v>20</x:v>
      </x:c>
      <x:c r="G35" s="1" t="s">
        <x:v>20</x:v>
      </x:c>
      <x:c r="H35" s="1" t="s">
        <x:v>77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62</x:v>
      </x:c>
      <x:c r="G36" s="1" t="s">
        <x:v>20</x:v>
      </x:c>
      <x:c r="H36" s="1" t="s">
        <x:v>29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78</x:v>
      </x:c>
      <x:c r="G37" s="1" t="s">
        <x:v>20</x:v>
      </x:c>
      <x:c r="H37" s="1" t="s">
        <x:v>31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79</x:v>
      </x:c>
      <x:c r="G38" s="1" t="s">
        <x:v>20</x:v>
      </x:c>
      <x:c r="H38" s="1" t="s">
        <x:v>80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81</x:v>
      </x:c>
      <x:c r="G39" s="1" t="s">
        <x:v>20</x:v>
      </x:c>
      <x:c r="H39" s="1" t="s">
        <x:v>80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82</x:v>
      </x:c>
      <x:c r="G40" s="1" t="s">
        <x:v>20</x:v>
      </x:c>
      <x:c r="H40" s="1" t="s">
        <x:v>80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83</x:v>
      </x:c>
      <x:c r="G41" s="1" t="s">
        <x:v>20</x:v>
      </x:c>
      <x:c r="H41" s="1" t="s">
        <x:v>84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85</x:v>
      </x:c>
      <x:c r="B42" s="2" t="s">
        <x:v>18</x:v>
      </x:c>
      <x:c r="C42" s="2">
        <x:f>HYPERLINK("https://team-7r6l.testit.software/projects/1/tests/63", "Smoke test ""Отзывы покупателей""")</x:f>
      </x:c>
      <x:c r="D42" s="1" t="s">
        <x:v>19</x:v>
      </x:c>
      <x:c r="E42" s="1" t="s">
        <x:v>20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21</x:v>
      </x:c>
      <x:c r="M42" s="1" t="s">
        <x:v>22</x:v>
      </x:c>
      <x:c r="N42" s="1" t="s">
        <x:v>86</x:v>
      </x:c>
      <x:c r="O42" s="1" t="s">
        <x:v>24</x:v>
      </x:c>
      <x:c r="P42" s="1" t="s">
        <x:v>25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26</x:v>
      </x:c>
      <x:c r="F43" s="1" t="s">
        <x:v>20</x:v>
      </x:c>
      <x:c r="G43" s="1" t="s">
        <x:v>20</x:v>
      </x:c>
      <x:c r="H43" s="1" t="s">
        <x:v>77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62</x:v>
      </x:c>
      <x:c r="G44" s="1" t="s">
        <x:v>20</x:v>
      </x:c>
      <x:c r="H44" s="1" t="s">
        <x:v>29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87</x:v>
      </x:c>
      <x:c r="G45" s="1" t="s">
        <x:v>20</x:v>
      </x:c>
      <x:c r="H45" s="1" t="s">
        <x:v>31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88</x:v>
      </x:c>
      <x:c r="G46" s="1" t="s">
        <x:v>20</x:v>
      </x:c>
      <x:c r="H46" s="1" t="s">
        <x:v>89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90</x:v>
      </x:c>
      <x:c r="G47" s="1" t="s">
        <x:v>20</x:v>
      </x:c>
      <x:c r="H47" s="1" t="s">
        <x:v>91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92</x:v>
      </x:c>
      <x:c r="G48" s="1" t="s">
        <x:v>20</x:v>
      </x:c>
      <x:c r="H48" s="1" t="s">
        <x:v>93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94</x:v>
      </x:c>
      <x:c r="B49" s="2" t="s">
        <x:v>18</x:v>
      </x:c>
      <x:c r="C49" s="2">
        <x:f>HYPERLINK("https://team-7r6l.testit.software/projects/1/tests/64", "Smoke test ""Сравнение товаров"" ")</x:f>
      </x:c>
      <x:c r="D49" s="1" t="s">
        <x:v>19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21</x:v>
      </x:c>
      <x:c r="M49" s="1" t="s">
        <x:v>22</x:v>
      </x:c>
      <x:c r="N49" s="1" t="s">
        <x:v>95</x:v>
      </x:c>
      <x:c r="O49" s="1" t="s">
        <x:v>24</x:v>
      </x:c>
      <x:c r="P49" s="1" t="s">
        <x:v>25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26</x:v>
      </x:c>
      <x:c r="F50" s="1" t="s">
        <x:v>20</x:v>
      </x:c>
      <x:c r="G50" s="1" t="s">
        <x:v>20</x:v>
      </x:c>
      <x:c r="H50" s="1" t="s">
        <x:v>27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62</x:v>
      </x:c>
      <x:c r="G51" s="1" t="s">
        <x:v>20</x:v>
      </x:c>
      <x:c r="H51" s="1" t="s">
        <x:v>29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96</x:v>
      </x:c>
      <x:c r="G52" s="1" t="s">
        <x:v>20</x:v>
      </x:c>
      <x:c r="H52" s="1" t="s">
        <x:v>31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97</x:v>
      </x:c>
      <x:c r="G53" s="1" t="s">
        <x:v>20</x:v>
      </x:c>
      <x:c r="H53" s="1" t="s">
        <x:v>98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99</x:v>
      </x:c>
      <x:c r="G54" s="1" t="s">
        <x:v>20</x:v>
      </x:c>
      <x:c r="H54" s="1" t="s">
        <x:v>98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100</x:v>
      </x:c>
      <x:c r="B55" s="2" t="s">
        <x:v>18</x:v>
      </x:c>
      <x:c r="C55" s="2">
        <x:f>HYPERLINK("https://team-7r6l.testit.software/projects/1/tests/65", "Smoke test ""Контакты""")</x:f>
      </x:c>
      <x:c r="D55" s="1" t="s">
        <x:v>19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21</x:v>
      </x:c>
      <x:c r="M55" s="1" t="s">
        <x:v>22</x:v>
      </x:c>
      <x:c r="N55" s="1" t="s">
        <x:v>101</x:v>
      </x:c>
      <x:c r="O55" s="1" t="s">
        <x:v>24</x:v>
      </x:c>
      <x:c r="P55" s="1" t="s">
        <x:v>25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26</x:v>
      </x:c>
      <x:c r="F56" s="1" t="s">
        <x:v>20</x:v>
      </x:c>
      <x:c r="G56" s="1" t="s">
        <x:v>20</x:v>
      </x:c>
      <x:c r="H56" s="1" t="s">
        <x:v>77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62</x:v>
      </x:c>
      <x:c r="G57" s="1" t="s">
        <x:v>20</x:v>
      </x:c>
      <x:c r="H57" s="1" t="s">
        <x:v>29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102</x:v>
      </x:c>
      <x:c r="G58" s="1" t="s">
        <x:v>20</x:v>
      </x:c>
      <x:c r="H58" s="1" t="s">
        <x:v>31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103</x:v>
      </x:c>
      <x:c r="G59" s="1" t="s">
        <x:v>20</x:v>
      </x:c>
      <x:c r="H59" s="1" t="s">
        <x:v>89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51</x:v>
      </x:c>
      <x:c r="G60" s="1" t="s">
        <x:v>20</x:v>
      </x:c>
      <x:c r="H60" s="1" t="s">
        <x:v>89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104</x:v>
      </x:c>
      <x:c r="G61" s="1" t="s">
        <x:v>20</x:v>
      </x:c>
      <x:c r="H61" s="1" t="s">
        <x:v>89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105</x:v>
      </x:c>
      <x:c r="G62" s="1" t="s">
        <x:v>20</x:v>
      </x:c>
      <x:c r="H62" s="1" t="s">
        <x:v>106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107</x:v>
      </x:c>
      <x:c r="B63" s="2" t="s">
        <x:v>18</x:v>
      </x:c>
      <x:c r="C63" s="2">
        <x:f>HYPERLINK("https://team-7r6l.testit.software/projects/1/tests/56", "Проверка валидации и корректности данных в полях раздела ""Регистрации"" ")</x:f>
      </x:c>
      <x:c r="D63" s="1" t="s">
        <x:v>19</x:v>
      </x:c>
      <x:c r="E63" s="1" t="s">
        <x:v>20</x:v>
      </x:c>
      <x:c r="F63" s="1" t="s">
        <x:v>20</x:v>
      </x:c>
      <x:c r="G63" s="1" t="s">
        <x:v>20</x:v>
      </x:c>
      <x:c r="H63" s="1" t="s">
        <x:v>20</x:v>
      </x:c>
      <x:c r="I63" s="1" t="s">
        <x:v>20</x:v>
      </x:c>
      <x:c r="J63" s="1" t="s">
        <x:v>20</x:v>
      </x:c>
      <x:c r="K63" s="1" t="s">
        <x:v>20</x:v>
      </x:c>
      <x:c r="L63" s="1" t="s">
        <x:v>21</x:v>
      </x:c>
      <x:c r="M63" s="1" t="s">
        <x:v>22</x:v>
      </x:c>
      <x:c r="N63" s="1" t="s">
        <x:v>108</x:v>
      </x:c>
      <x:c r="O63" s="1" t="s">
        <x:v>24</x:v>
      </x:c>
      <x:c r="P63" s="1" t="s">
        <x:v>25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28</x:v>
      </x:c>
      <x:c r="G64" s="1" t="s">
        <x:v>20</x:v>
      </x:c>
      <x:c r="H64" s="1" t="s">
        <x:v>29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109</x:v>
      </x:c>
      <x:c r="G65" s="1" t="s">
        <x:v>20</x:v>
      </x:c>
      <x:c r="H65" s="1" t="s">
        <x:v>31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110</x:v>
      </x:c>
      <x:c r="G66" s="1" t="s">
        <x:v>20</x:v>
      </x:c>
      <x:c r="H66" s="2" t="s">
        <x:v>111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112</x:v>
      </x:c>
      <x:c r="G67" s="1" t="s">
        <x:v>20</x:v>
      </x:c>
      <x:c r="H67" s="2" t="s">
        <x:v>113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114</x:v>
      </x:c>
      <x:c r="G68" s="1" t="s">
        <x:v>20</x:v>
      </x:c>
      <x:c r="H68" s="2" t="s">
        <x:v>115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116</x:v>
      </x:c>
      <x:c r="G69" s="1" t="s">
        <x:v>20</x:v>
      </x:c>
      <x:c r="H69" s="2" t="s">
        <x:v>115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117</x:v>
      </x:c>
      <x:c r="G70" s="1" t="s">
        <x:v>20</x:v>
      </x:c>
      <x:c r="H70" s="2" t="s">
        <x:v>118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119</x:v>
      </x:c>
      <x:c r="G71" s="1" t="s">
        <x:v>20</x:v>
      </x:c>
      <x:c r="H71" s="2" t="s">
        <x:v>120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121</x:v>
      </x:c>
      <x:c r="B72" s="2" t="s">
        <x:v>18</x:v>
      </x:c>
      <x:c r="C72" s="2">
        <x:f>HYPERLINK("https://team-7r6l.testit.software/projects/1/tests/57", "Проверка регистрации пользователя на невалидных данных ")</x:f>
      </x:c>
      <x:c r="D72" s="1" t="s">
        <x:v>19</x:v>
      </x:c>
      <x:c r="E72" s="1" t="s">
        <x:v>20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21</x:v>
      </x:c>
      <x:c r="M72" s="1" t="s">
        <x:v>22</x:v>
      </x:c>
      <x:c r="N72" s="1" t="s">
        <x:v>122</x:v>
      </x:c>
      <x:c r="O72" s="1" t="s">
        <x:v>24</x:v>
      </x:c>
      <x:c r="P72" s="1" t="s">
        <x:v>25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28</x:v>
      </x:c>
      <x:c r="G73" s="1" t="s">
        <x:v>20</x:v>
      </x:c>
      <x:c r="H73" s="1" t="s">
        <x:v>29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48</x:v>
      </x:c>
      <x:c r="G74" s="1" t="s">
        <x:v>20</x:v>
      </x:c>
      <x:c r="H74" s="1" t="s">
        <x:v>31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123</x:v>
      </x:c>
      <x:c r="G75" s="1" t="s">
        <x:v>20</x:v>
      </x:c>
      <x:c r="H75" s="1" t="s">
        <x:v>124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125</x:v>
      </x:c>
      <x:c r="G76" s="1" t="s">
        <x:v>20</x:v>
      </x:c>
      <x:c r="H76" s="1" t="s">
        <x:v>126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127</x:v>
      </x:c>
      <x:c r="G77" s="1" t="s">
        <x:v>20</x:v>
      </x:c>
      <x:c r="H77" s="1" t="s">
        <x:v>128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129</x:v>
      </x:c>
      <x:c r="G78" s="1" t="s">
        <x:v>20</x:v>
      </x:c>
      <x:c r="H78" s="1" t="s">
        <x:v>130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131</x:v>
      </x:c>
      <x:c r="G79" s="1" t="s">
        <x:v>20</x:v>
      </x:c>
      <x:c r="H79" s="1" t="s">
        <x:v>132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58</x:v>
      </x:c>
      <x:c r="G80" s="1" t="s">
        <x:v>20</x:v>
      </x:c>
      <x:c r="H80" s="1" t="s">
        <x:v>133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134</x:v>
      </x:c>
      <x:c r="B81" s="2" t="s">
        <x:v>18</x:v>
      </x:c>
      <x:c r="C81" s="2">
        <x:f>HYPERLINK("https://team-7r6l.testit.software/projects/1/tests/58", "Проверка регистрации пустого пользователя ")</x:f>
      </x:c>
      <x:c r="D81" s="1" t="s">
        <x:v>19</x:v>
      </x:c>
      <x:c r="E81" s="1" t="s">
        <x:v>20</x:v>
      </x:c>
      <x:c r="F81" s="1" t="s">
        <x:v>20</x:v>
      </x:c>
      <x:c r="G81" s="1" t="s">
        <x:v>20</x:v>
      </x:c>
      <x:c r="H81" s="1" t="s">
        <x:v>20</x:v>
      </x:c>
      <x:c r="I81" s="1" t="s">
        <x:v>20</x:v>
      </x:c>
      <x:c r="J81" s="1" t="s">
        <x:v>20</x:v>
      </x:c>
      <x:c r="K81" s="1" t="s">
        <x:v>20</x:v>
      </x:c>
      <x:c r="L81" s="1" t="s">
        <x:v>21</x:v>
      </x:c>
      <x:c r="M81" s="1" t="s">
        <x:v>22</x:v>
      </x:c>
      <x:c r="N81" s="1" t="s">
        <x:v>135</x:v>
      </x:c>
      <x:c r="O81" s="1" t="s">
        <x:v>24</x:v>
      </x:c>
      <x:c r="P81" s="1" t="s">
        <x:v>25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28</x:v>
      </x:c>
      <x:c r="G82" s="1" t="s">
        <x:v>20</x:v>
      </x:c>
      <x:c r="H82" s="1" t="s">
        <x:v>29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48</x:v>
      </x:c>
      <x:c r="G83" s="1" t="s">
        <x:v>20</x:v>
      </x:c>
      <x:c r="H83" s="1" t="s">
        <x:v>31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136</x:v>
      </x:c>
      <x:c r="G84" s="1" t="s">
        <x:v>20</x:v>
      </x:c>
      <x:c r="H84" s="1" t="s">
        <x:v>137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58</x:v>
      </x:c>
      <x:c r="G85" s="1" t="s">
        <x:v>20</x:v>
      </x:c>
      <x:c r="H85" s="1" t="s">
        <x:v>133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Project_qa sandbox</vt:lpstr>
      <vt:lpstr>Project_qa sandbox!Print_Area</vt:lpstr>
      <vt:lpstr>Project_qa sandbox!Print_Titles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